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m0115\Documents\GitHub\hAUptic-paddle\Haptics Symposium Version 2026\Hardware\"/>
    </mc:Choice>
  </mc:AlternateContent>
  <xr:revisionPtr revIDLastSave="0" documentId="13_ncr:1_{E5AEF5AB-E1D4-4B79-8A98-8F1855933DCB}" xr6:coauthVersionLast="47" xr6:coauthVersionMax="47" xr10:uidLastSave="{00000000-0000-0000-0000-000000000000}"/>
  <bookViews>
    <workbookView xWindow="3405" yWindow="1260" windowWidth="21600" windowHeight="11295" xr2:uid="{4EECC354-6FBD-4068-A1E6-CB27AE90A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18" i="1"/>
  <c r="E17" i="1"/>
  <c r="D16" i="1"/>
  <c r="E16" i="1" s="1"/>
  <c r="E15" i="1"/>
  <c r="E14" i="1"/>
  <c r="E13" i="1"/>
  <c r="E12" i="1"/>
  <c r="D11" i="1"/>
  <c r="E11" i="1" s="1"/>
  <c r="E26" i="1"/>
  <c r="E19" i="1"/>
  <c r="E10" i="1"/>
  <c r="E9" i="1"/>
  <c r="E8" i="1"/>
  <c r="E28" i="1"/>
  <c r="E27" i="1"/>
  <c r="E7" i="1"/>
  <c r="E6" i="1"/>
  <c r="E5" i="1"/>
  <c r="E4" i="1"/>
  <c r="E2" i="1"/>
  <c r="E23" i="1" l="1"/>
  <c r="E22" i="1"/>
</calcChain>
</file>

<file path=xl/sharedStrings.xml><?xml version="1.0" encoding="utf-8"?>
<sst xmlns="http://schemas.openxmlformats.org/spreadsheetml/2006/main" count="82" uniqueCount="67">
  <si>
    <t>Item</t>
  </si>
  <si>
    <t>Cost Per Pack</t>
  </si>
  <si>
    <t>No. Per Pack</t>
  </si>
  <si>
    <t>No. Per Paddle</t>
  </si>
  <si>
    <t>Cost Per Paddle</t>
  </si>
  <si>
    <t>Vendor</t>
  </si>
  <si>
    <t>Link</t>
  </si>
  <si>
    <t>Amazon</t>
  </si>
  <si>
    <t>PLA (~.2 kg/paddle)</t>
  </si>
  <si>
    <t>https://www.amazon.com/HATCHBOX-Printer-Filament-Dimensional-Accuracy/dp/B09G8HDL1Q/ref=sr_1_2_sspa?crid=327CFK4JV76XG&amp;keywords=pla+hatchbox+1.75+mm&amp;qid=1667918177&amp;sprefix=pla+hatchbox+1.75+mm%2Caps%2C72&amp;sr=8-2-spons&amp;psc=1</t>
  </si>
  <si>
    <t>Xiao Boards (RP2040)</t>
  </si>
  <si>
    <t>Mouser</t>
  </si>
  <si>
    <t>https://www.mouser.com/ProductDetail/Seeed-Studio/102010388?qs=hd1VzrDQEGhCsl7tLa3o%252Bg%3D%3D&amp;mgh=1</t>
  </si>
  <si>
    <t>Pololu</t>
  </si>
  <si>
    <t>Motor Drivers</t>
  </si>
  <si>
    <t>Sparkfun</t>
  </si>
  <si>
    <t>https://www.sparkfun.com/sparkfun-motor-driver-dual-tb6612fng-with-headers.html</t>
  </si>
  <si>
    <t>Cables</t>
  </si>
  <si>
    <t>https://www.amazon.com/Gauge-Wire-Solid-Hookup-Wires/dp/B088KQFHV7/ref=ice_ac_b_dpb?keywords=solid+core+hookup+wires&amp;qid=1667918233&amp;sprefix=hookup+wires+solid%2Caps%2C78&amp;sr=8-5</t>
  </si>
  <si>
    <t>Power supplies</t>
  </si>
  <si>
    <t>https://www.amazon.com/ALITOVE-Converter-100-240V-Transformer-Security/dp/B082C6XF88/ref=sr_1_5_sspa?dib=eyJ2IjoiMSJ9.HhyQcYFxSnAV0hq4e0qwVBIIaRB1Q8r-ej1UXmJNTW8NzWFN2F8Kja5vI4VILzOGMPnTERPdwN2UdlZgl_8yWNeucQPLlVl7olA2PaO0OlbbiFRclV5RnabcmtfD7SAq-frUYzAmI241VV2ItsFQJEKEe75MX-bysCqoT0xBRFZKvZMtxHHv2PNpyXA8pQcAvMzf5SSSd_SnFhYdW2aGy9JMr3OMyje5iaucrT8DbBo.6soFbMssKnysD5ttN_XiPOlMUxVfTFENRqQ6dihE7_s&amp;dib_tag=se&amp;hvadid=694095447987&amp;hvdev=c&amp;hvexpln=67&amp;hvlocphy=1012947&amp;hvnetw=g&amp;hvocijid=7647249868743066757--&amp;hvqmt=e&amp;hvrand=7647249868743066757&amp;hvtargid=kwd-1028416465885&amp;hydadcr=12727_13368272&amp;keywords=ac%2Badapter%2Bmodel%2Brxz12v2a-a&amp;mcid=9366ef7bda583eeb848b7585e2c55389&amp;qid=1759790868&amp;sr=8-5-spons&amp;sp_csd=d2lkZ2V0TmFtZT1zcF9tdGY&amp;th=1</t>
  </si>
  <si>
    <t>USB cable</t>
  </si>
  <si>
    <t>https://www.amazon.com/Upgrade-CONMDEX-Android-Charging-Transfer/dp/B087JMJSVC/ref=sr_1_3?crid=33P44PSN7PM6H&amp;keywords=usb+c+data+cable&amp;qid=1667918294&amp;sprefix=usb+c+data+cabl%2Caps%2C81&amp;sr=8-3</t>
  </si>
  <si>
    <t>Motors</t>
  </si>
  <si>
    <t>Jameco</t>
  </si>
  <si>
    <t>https://www.jameco.com/z/RF370CH-15370-R-Nichibo-Taiwan-12V-DC-Motor-5600-RPM-2mm-Round-Shaft_2327887.html</t>
  </si>
  <si>
    <t>Bearings/bushings</t>
  </si>
  <si>
    <t>McMaster</t>
  </si>
  <si>
    <t>https://www.mcmaster.com/2938T3/</t>
  </si>
  <si>
    <t>Shoulder bolt</t>
  </si>
  <si>
    <t>https://www.mcmaster.com/90311A144/</t>
  </si>
  <si>
    <t>10-44 Steel Hex Nut</t>
  </si>
  <si>
    <t>https://www.mcmaster.com/90480A011/</t>
  </si>
  <si>
    <t>https://www.mcmaster.com/53535A22/</t>
  </si>
  <si>
    <t>Neoprene Tubing</t>
  </si>
  <si>
    <t>https://www.mcmaster.com/51075K27/</t>
  </si>
  <si>
    <t>Solder</t>
  </si>
  <si>
    <t>https://www.amazon.com/TOWOT-Electrical-Soldering-Content-Sn60-Pd40/dp/B0943TPRXK/ref=sr_1_1_sspa?crid=PQDDJ8A06CTV&amp;keywords=solder&amp;qid=1667919024&amp;sprefix=sold%2Caps%2C76&amp;sr=8-1-spons&amp;psc=1</t>
  </si>
  <si>
    <t>Heat shrink</t>
  </si>
  <si>
    <t>https://www.amazon.com/Othmro-Pieces-Heat-Shrinking-Ratio/dp/B07W4NZSSN/ref=sr_1_5?keywords=2mm+heat+shrink&amp;qid=1667919246&amp;sprefix=2mm+heat+s%2Caps%2C83&amp;sr=8-5</t>
  </si>
  <si>
    <t>Magnets</t>
  </si>
  <si>
    <t>https://www.mcmaster.com/57295K73/</t>
  </si>
  <si>
    <t>Sensor</t>
  </si>
  <si>
    <t>Female header connector</t>
  </si>
  <si>
    <t>https://www.amazon.com/Qunqi-2-54mm-Straight-Connector-Arduino/dp/B07CGGSDWF/ref=sr_1_11?keywords=female+header+connector&amp;qid=1667919473&amp;sprefix=female+header%2Caps%2C91&amp;sr=8-11</t>
  </si>
  <si>
    <t>10-24 Steel Hex Nut</t>
  </si>
  <si>
    <t>8-32 Steel Hex Nut</t>
  </si>
  <si>
    <t>https://www.mcmaster.com/90480A009/</t>
  </si>
  <si>
    <t xml:space="preserve">PCB </t>
  </si>
  <si>
    <t>Price Per Paddle</t>
  </si>
  <si>
    <t>If Desired/Needed for Connection</t>
  </si>
  <si>
    <t>Rubber Feet</t>
  </si>
  <si>
    <t>Useful for a sturdy connection to test surface</t>
  </si>
  <si>
    <t>Useful if desired to plug into a wall outlet</t>
  </si>
  <si>
    <t>Necessary if lacking a USB/USB-C Cable</t>
  </si>
  <si>
    <t>Digikey</t>
  </si>
  <si>
    <t>https://www.digikey.com/en/products/detail/seeed-technology-co-ltd/113991114/19285530?gclsrc=aw.ds&amp;gad_source=1&amp;gad_campaignid=20243136172&amp;gbraid=0AAAAADrbLljzjhqW8GEuzyu6roKO8B0hL&amp;gclid=CjwKCAiAncvMBhBEEiwA9GU_fjDVjtTE7Fk0g16dPo1ecD7XRxhsBB5pOPxcmgkVP8jmFqzQbLufMhoC1ugQAvD_BwE</t>
  </si>
  <si>
    <t>Xiao Seeed ESP32S3</t>
  </si>
  <si>
    <t>Without WiFI</t>
  </si>
  <si>
    <t>With WiFi</t>
  </si>
  <si>
    <t>Column1</t>
  </si>
  <si>
    <t>**Version Used for Work-in-Progress Interface and Design Upgrades to Design Paper (Haptics Symposium 2026)</t>
  </si>
  <si>
    <t>**Version Used for Evaluating Usability Between Low Cost and High End Haptic Paddles (Haptics Symposium 2026)</t>
  </si>
  <si>
    <t>Contact ___mdm0115@auburn.edu____</t>
  </si>
  <si>
    <t>5V Voltage Regulator (Pololu 0J8557)</t>
  </si>
  <si>
    <t>Pololu 5V, 500mA Step-Down Voltage Regulator D24V5F5</t>
  </si>
  <si>
    <t>SS49E Honeywell Sensing and Productivity Solutions | Linear, Compass (ICs) | 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</si>
</sst>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44" fontId="0" fillId="0" borderId="2" xfId="1" applyFont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44" fontId="0" fillId="0" borderId="3" xfId="1" applyFont="1" applyBorder="1"/>
    <xf numFmtId="0" fontId="2" fillId="0" borderId="4" xfId="2" applyBorder="1"/>
    <xf numFmtId="44" fontId="0" fillId="2" borderId="2" xfId="1" applyFont="1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 vertical="center"/>
    </xf>
    <xf numFmtId="44" fontId="0" fillId="2" borderId="3" xfId="1" applyFont="1" applyFill="1" applyBorder="1"/>
    <xf numFmtId="0" fontId="2" fillId="2" borderId="4" xfId="2" applyFill="1" applyBorder="1"/>
    <xf numFmtId="0" fontId="2" fillId="0" borderId="0" xfId="2"/>
    <xf numFmtId="44" fontId="0" fillId="0" borderId="0" xfId="1" applyFont="1"/>
    <xf numFmtId="0" fontId="0" fillId="0" borderId="0" xfId="0" applyAlignment="1">
      <alignment horizontal="center" vertical="center"/>
    </xf>
    <xf numFmtId="0" fontId="0" fillId="0" borderId="0" xfId="1" applyNumberFormat="1" applyFont="1"/>
    <xf numFmtId="0" fontId="2" fillId="3" borderId="5" xfId="2" applyFill="1" applyBorder="1"/>
    <xf numFmtId="0" fontId="0" fillId="4" borderId="0" xfId="0" applyFill="1"/>
    <xf numFmtId="44" fontId="0" fillId="0" borderId="0" xfId="0" applyNumberFormat="1"/>
    <xf numFmtId="0" fontId="0" fillId="0" borderId="5" xfId="0" applyBorder="1"/>
    <xf numFmtId="0" fontId="3" fillId="5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44" fontId="0" fillId="4" borderId="0" xfId="1" applyFont="1" applyFill="1"/>
    <xf numFmtId="44" fontId="0" fillId="6" borderId="2" xfId="1" applyFont="1" applyFill="1" applyBorder="1"/>
    <xf numFmtId="0" fontId="0" fillId="6" borderId="0" xfId="0" applyFill="1"/>
    <xf numFmtId="44" fontId="0" fillId="0" borderId="2" xfId="1" applyFont="1" applyFill="1" applyBorder="1"/>
    <xf numFmtId="44" fontId="0" fillId="0" borderId="3" xfId="1" applyFont="1" applyFill="1" applyBorder="1"/>
    <xf numFmtId="0" fontId="2" fillId="0" borderId="4" xfId="2" applyFill="1" applyBorder="1"/>
    <xf numFmtId="0" fontId="2" fillId="6" borderId="0" xfId="2" applyFill="1"/>
    <xf numFmtId="44" fontId="0" fillId="0" borderId="0" xfId="1" applyFont="1" applyBorder="1"/>
    <xf numFmtId="44" fontId="0" fillId="6" borderId="0" xfId="1" applyFont="1" applyFill="1"/>
    <xf numFmtId="44" fontId="0" fillId="6" borderId="3" xfId="1" applyFont="1" applyFill="1" applyBorder="1"/>
    <xf numFmtId="0" fontId="3" fillId="0" borderId="1" xfId="0" applyFont="1" applyBorder="1" applyAlignment="1">
      <alignment horizontal="left" vertical="center"/>
    </xf>
    <xf numFmtId="44" fontId="0" fillId="0" borderId="0" xfId="1" applyFont="1" applyFill="1" applyBorder="1"/>
  </cellXfs>
  <cellStyles count="3">
    <cellStyle name="Currency" xfId="1" builtinId="4"/>
    <cellStyle name="Hyperlink" xfId="2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B5E59A-A125-497C-9ED9-FE2CB617AC56}" name="Table2" displayName="Table2" ref="A1:H20" totalsRowShown="0">
  <autoFilter ref="A1:H20" xr:uid="{90B5E59A-A125-497C-9ED9-FE2CB617AC56}"/>
  <tableColumns count="8">
    <tableColumn id="1" xr3:uid="{937D295C-DE30-46A1-BDC1-6C39079923D6}" name="Item" dataDxfId="0"/>
    <tableColumn id="2" xr3:uid="{526B8FD6-BCED-4741-8565-D009D113F262}" name="Cost Per Pack"/>
    <tableColumn id="3" xr3:uid="{17F63AA0-6CCF-4E57-B71D-A5AE82DCB6F9}" name="No. Per Pack"/>
    <tableColumn id="4" xr3:uid="{9654E6DD-A907-4A79-A82B-092CEAEFDD81}" name="No. Per Paddle"/>
    <tableColumn id="5" xr3:uid="{B38DA5F5-2B19-4A9E-81FB-F343D7DA8F77}" name="Cost Per Paddle"/>
    <tableColumn id="6" xr3:uid="{A36C93C6-D9F1-4C1E-9ADD-530F23F77151}" name="Vendor"/>
    <tableColumn id="7" xr3:uid="{AA3A03BA-D911-45D3-988F-706BDD60123A}" name="Link"/>
    <tableColumn id="8" xr3:uid="{6B05F40C-B9B9-4C42-B479-6E5F2CFE1042}" name="Column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cmaster.com/51075K27/" TargetMode="External"/><Relationship Id="rId13" Type="http://schemas.openxmlformats.org/officeDocument/2006/relationships/hyperlink" Target="https://www.mcmaster.com/90480A011/" TargetMode="External"/><Relationship Id="rId18" Type="http://schemas.openxmlformats.org/officeDocument/2006/relationships/hyperlink" Target="https://www.pololu.com/product/2843" TargetMode="External"/><Relationship Id="rId3" Type="http://schemas.openxmlformats.org/officeDocument/2006/relationships/hyperlink" Target="https://www.amazon.com/ALITOVE-Converter-100-240V-Transformer-Security/dp/B082C6XF88/ref=sr_1_5_sspa?dib=eyJ2IjoiMSJ9.HhyQcYFxSnAV0hq4e0qwVBIIaRB1Q8r-ej1UXmJNTW8NzWFN2F8Kja5vI4VILzOGMPnTERPdwN2UdlZgl_8yWNeucQPLlVl7olA2PaO0OlbbiFRclV5RnabcmtfD7SAq-frUYzAmI241VV2ItsFQJEKEe75MX-bysCqoT0xBRFZKvZMtxHHv2PNpyXA8pQcAvMzf5SSSd_SnFhYdW2aGy9JMr3OMyje5iaucrT8DbBo.6soFbMssKnysD5ttN_XiPOlMUxVfTFENRqQ6dihE7_s&amp;dib_tag=se&amp;hvadid=694095447987&amp;hvdev=c&amp;hvexpln=67&amp;hvlocphy=1012947&amp;hvnetw=g&amp;hvocijid=7647249868743066757--&amp;hvqmt=e&amp;hvrand=7647249868743066757&amp;hvtargid=kwd-1028416465885&amp;hydadcr=12727_13368272&amp;keywords=ac%2Badapter%2Bmodel%2Brxz12v2a-a&amp;mcid=9366ef7bda583eeb848b7585e2c55389&amp;qid=1759790868&amp;sr=8-5-spons&amp;sp_csd=d2lkZ2V0TmFtZT1zcF9tdGY&amp;th=1" TargetMode="External"/><Relationship Id="rId7" Type="http://schemas.openxmlformats.org/officeDocument/2006/relationships/hyperlink" Target="https://www.mcmaster.com/53535A22/" TargetMode="External"/><Relationship Id="rId12" Type="http://schemas.openxmlformats.org/officeDocument/2006/relationships/hyperlink" Target="https://www.amazon.com/Othmro-Pieces-Heat-Shrinking-Ratio/dp/B07W4NZSSN/ref=sr_1_5?keywords=2mm+heat+shrink&amp;qid=1667919246&amp;sprefix=2mm+heat+s%2Caps%2C83&amp;sr=8-5" TargetMode="External"/><Relationship Id="rId17" Type="http://schemas.openxmlformats.org/officeDocument/2006/relationships/hyperlink" Target="https://www.mouser.com/ProductDetail/Seeed-Studio/102010388?qs=hd1VzrDQEGhCsl7tLa3o%252Bg%3D%3D&amp;mgh=1" TargetMode="External"/><Relationship Id="rId2" Type="http://schemas.openxmlformats.org/officeDocument/2006/relationships/hyperlink" Target="https://www.amazon.com/Gauge-Wire-Solid-Hookup-Wires/dp/B088KQFHV7/ref=ice_ac_b_dpb?keywords=solid+core+hookup+wires&amp;qid=1667918233&amp;sprefix=hookup+wires+solid%2Caps%2C78&amp;sr=8-5" TargetMode="External"/><Relationship Id="rId16" Type="http://schemas.openxmlformats.org/officeDocument/2006/relationships/hyperlink" Target="https://www.sparkfun.com/sparkfun-motor-driver-dual-tb6612fng-with-headers.html" TargetMode="External"/><Relationship Id="rId20" Type="http://schemas.openxmlformats.org/officeDocument/2006/relationships/table" Target="../tables/table1.xml"/><Relationship Id="rId1" Type="http://schemas.openxmlformats.org/officeDocument/2006/relationships/hyperlink" Target="https://www.amazon.com/HATCHBOX-Printer-Filament-Dimensional-Accuracy/dp/B09G8HDL1Q/ref=sr_1_2_sspa?crid=327CFK4JV76XG&amp;keywords=pla+hatchbox+1.75+mm&amp;qid=1667918177&amp;sprefix=pla+hatchbox+1.75+mm%2Caps%2C72&amp;sr=8-2-spons&amp;psc=1" TargetMode="External"/><Relationship Id="rId6" Type="http://schemas.openxmlformats.org/officeDocument/2006/relationships/hyperlink" Target="https://www.mcmaster.com/2938T3/" TargetMode="External"/><Relationship Id="rId11" Type="http://schemas.openxmlformats.org/officeDocument/2006/relationships/hyperlink" Target="https://www.amazon.com/TOWOT-Electrical-Soldering-Content-Sn60-Pd40/dp/B0943TPRXK/ref=sr_1_1_sspa?crid=PQDDJ8A06CTV&amp;keywords=solder&amp;qid=1667919024&amp;sprefix=sold%2Caps%2C76&amp;sr=8-1-spons&amp;psc=1" TargetMode="External"/><Relationship Id="rId5" Type="http://schemas.openxmlformats.org/officeDocument/2006/relationships/hyperlink" Target="https://www.mcmaster.com/90311A144/" TargetMode="External"/><Relationship Id="rId15" Type="http://schemas.openxmlformats.org/officeDocument/2006/relationships/hyperlink" Target="https://www.jameco.com/z/RF370CH-15370-R-Nichibo-Taiwan-12V-DC-Motor-5600-RPM-2mm-Round-Shaft_2327887.html" TargetMode="External"/><Relationship Id="rId10" Type="http://schemas.openxmlformats.org/officeDocument/2006/relationships/hyperlink" Target="https://www.mcmaster.com/57295K73/" TargetMode="External"/><Relationship Id="rId19" Type="http://schemas.openxmlformats.org/officeDocument/2006/relationships/hyperlink" Target="https://www.digikey.com.au/en/products/detail/honeywell-sensing-and-productivity-solutions/SS49E/701361" TargetMode="External"/><Relationship Id="rId4" Type="http://schemas.openxmlformats.org/officeDocument/2006/relationships/hyperlink" Target="https://www.amazon.com/Upgrade-CONMDEX-Android-Charging-Transfer/dp/B087JMJSVC/ref=sr_1_3?crid=33P44PSN7PM6H&amp;keywords=usb+c+data+cable&amp;qid=1667918294&amp;sprefix=usb+c+data+cabl%2Caps%2C81&amp;sr=8-3" TargetMode="External"/><Relationship Id="rId9" Type="http://schemas.openxmlformats.org/officeDocument/2006/relationships/hyperlink" Target="https://www.amazon.com/Qunqi-2-54mm-Straight-Connector-Arduino/dp/B07CGGSDWF/ref=sr_1_11?keywords=female+header+connector&amp;qid=1667919473&amp;sprefix=female+header%2Caps%2C91&amp;sr=8-11" TargetMode="External"/><Relationship Id="rId14" Type="http://schemas.openxmlformats.org/officeDocument/2006/relationships/hyperlink" Target="https://www.mcmaster.com/90480A00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4F03A-B9F7-496D-A400-0D3F72C46D68}">
  <dimension ref="A1:I28"/>
  <sheetViews>
    <sheetView tabSelected="1" topLeftCell="A3" workbookViewId="0">
      <selection activeCell="G22" sqref="G22"/>
    </sheetView>
  </sheetViews>
  <sheetFormatPr defaultRowHeight="15" x14ac:dyDescent="0.25"/>
  <cols>
    <col min="1" max="1" width="19.85546875" customWidth="1"/>
    <col min="2" max="2" width="15" customWidth="1"/>
    <col min="3" max="3" width="14.28515625" customWidth="1"/>
    <col min="4" max="4" width="16.140625" customWidth="1"/>
    <col min="5" max="5" width="16.85546875" customWidth="1"/>
    <col min="6" max="6" width="9.42578125" customWidth="1"/>
    <col min="7" max="7" width="14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60</v>
      </c>
    </row>
    <row r="2" spans="1:8" x14ac:dyDescent="0.25">
      <c r="A2" s="18" t="s">
        <v>8</v>
      </c>
      <c r="B2" s="6">
        <v>28</v>
      </c>
      <c r="C2" s="7">
        <v>1</v>
      </c>
      <c r="D2" s="8">
        <v>0.2</v>
      </c>
      <c r="E2" s="9">
        <f t="shared" ref="E2:E19" si="0">B2*(D2/C2)</f>
        <v>5.6000000000000005</v>
      </c>
      <c r="F2" s="7" t="s">
        <v>7</v>
      </c>
      <c r="G2" s="10" t="s">
        <v>9</v>
      </c>
    </row>
    <row r="3" spans="1:8" ht="15.75" x14ac:dyDescent="0.25">
      <c r="A3" s="20" t="s">
        <v>57</v>
      </c>
      <c r="B3" s="6">
        <v>7.49</v>
      </c>
      <c r="C3" s="7">
        <v>1</v>
      </c>
      <c r="D3" s="8">
        <v>1</v>
      </c>
      <c r="E3" s="9">
        <f t="shared" si="0"/>
        <v>7.49</v>
      </c>
      <c r="F3" s="7" t="s">
        <v>55</v>
      </c>
      <c r="G3" s="10" t="s">
        <v>56</v>
      </c>
      <c r="H3" t="s">
        <v>62</v>
      </c>
    </row>
    <row r="4" spans="1:8" x14ac:dyDescent="0.25">
      <c r="A4" s="18" t="s">
        <v>10</v>
      </c>
      <c r="B4" s="24">
        <v>6.5</v>
      </c>
      <c r="C4" s="2">
        <v>1</v>
      </c>
      <c r="D4" s="3">
        <v>1</v>
      </c>
      <c r="E4" s="25">
        <f t="shared" si="0"/>
        <v>6.5</v>
      </c>
      <c r="F4" s="2" t="s">
        <v>11</v>
      </c>
      <c r="G4" s="5" t="s">
        <v>12</v>
      </c>
      <c r="H4" t="s">
        <v>61</v>
      </c>
    </row>
    <row r="5" spans="1:8" x14ac:dyDescent="0.25">
      <c r="A5" s="18" t="s">
        <v>64</v>
      </c>
      <c r="B5" s="22">
        <v>8.9499999999999993</v>
      </c>
      <c r="C5" s="23">
        <v>1</v>
      </c>
      <c r="D5" s="23">
        <v>1</v>
      </c>
      <c r="E5" s="9">
        <f t="shared" si="0"/>
        <v>8.9499999999999993</v>
      </c>
      <c r="F5" s="23" t="s">
        <v>13</v>
      </c>
      <c r="G5" s="11" t="s">
        <v>65</v>
      </c>
    </row>
    <row r="6" spans="1:8" x14ac:dyDescent="0.25">
      <c r="A6" s="18" t="s">
        <v>14</v>
      </c>
      <c r="B6" s="24">
        <v>14.5</v>
      </c>
      <c r="C6">
        <v>1</v>
      </c>
      <c r="D6">
        <v>1</v>
      </c>
      <c r="E6" s="25">
        <f t="shared" si="0"/>
        <v>14.5</v>
      </c>
      <c r="F6" t="s">
        <v>15</v>
      </c>
      <c r="G6" s="11" t="s">
        <v>16</v>
      </c>
    </row>
    <row r="7" spans="1:8" x14ac:dyDescent="0.25">
      <c r="A7" s="18" t="s">
        <v>17</v>
      </c>
      <c r="B7" s="6">
        <v>15</v>
      </c>
      <c r="C7" s="7">
        <v>33</v>
      </c>
      <c r="D7" s="8">
        <v>1</v>
      </c>
      <c r="E7" s="9">
        <f t="shared" si="0"/>
        <v>0.45454545454545459</v>
      </c>
      <c r="F7" s="7" t="s">
        <v>7</v>
      </c>
      <c r="G7" s="10" t="s">
        <v>18</v>
      </c>
    </row>
    <row r="8" spans="1:8" ht="15.75" x14ac:dyDescent="0.25">
      <c r="A8" s="20" t="s">
        <v>23</v>
      </c>
      <c r="B8" s="24">
        <v>4.95</v>
      </c>
      <c r="C8" s="2">
        <v>1</v>
      </c>
      <c r="D8" s="3">
        <v>1</v>
      </c>
      <c r="E8" s="25">
        <f t="shared" si="0"/>
        <v>4.95</v>
      </c>
      <c r="F8" s="2" t="s">
        <v>24</v>
      </c>
      <c r="G8" s="26" t="s">
        <v>25</v>
      </c>
    </row>
    <row r="9" spans="1:8" ht="15.75" x14ac:dyDescent="0.25">
      <c r="A9" s="20" t="s">
        <v>26</v>
      </c>
      <c r="B9" s="6">
        <v>0.92</v>
      </c>
      <c r="C9" s="7">
        <v>1</v>
      </c>
      <c r="D9" s="8">
        <v>1</v>
      </c>
      <c r="E9" s="9">
        <f t="shared" si="0"/>
        <v>0.92</v>
      </c>
      <c r="F9" s="7" t="s">
        <v>27</v>
      </c>
      <c r="G9" s="15" t="s">
        <v>28</v>
      </c>
    </row>
    <row r="10" spans="1:8" ht="15.75" x14ac:dyDescent="0.25">
      <c r="A10" s="20" t="s">
        <v>29</v>
      </c>
      <c r="B10" s="1">
        <v>6.88</v>
      </c>
      <c r="C10" s="2">
        <v>1</v>
      </c>
      <c r="D10" s="3">
        <v>1</v>
      </c>
      <c r="E10" s="4">
        <f t="shared" si="0"/>
        <v>6.88</v>
      </c>
      <c r="F10" s="2" t="s">
        <v>27</v>
      </c>
      <c r="G10" s="5" t="s">
        <v>30</v>
      </c>
    </row>
    <row r="11" spans="1:8" ht="15.75" x14ac:dyDescent="0.25">
      <c r="A11" s="20" t="s">
        <v>34</v>
      </c>
      <c r="B11" s="6">
        <v>1.27</v>
      </c>
      <c r="C11" s="7">
        <v>1</v>
      </c>
      <c r="D11" s="8">
        <f>(1/12)</f>
        <v>8.3333333333333329E-2</v>
      </c>
      <c r="E11" s="9">
        <f t="shared" si="0"/>
        <v>0.10583333333333333</v>
      </c>
      <c r="F11" s="7" t="s">
        <v>27</v>
      </c>
      <c r="G11" s="10" t="s">
        <v>35</v>
      </c>
    </row>
    <row r="12" spans="1:8" ht="15.75" x14ac:dyDescent="0.25">
      <c r="A12" s="20" t="s">
        <v>36</v>
      </c>
      <c r="B12" s="1">
        <v>7.39</v>
      </c>
      <c r="C12" s="2">
        <v>50</v>
      </c>
      <c r="D12" s="3">
        <v>5</v>
      </c>
      <c r="E12" s="4">
        <f t="shared" si="0"/>
        <v>0.73899999999999999</v>
      </c>
      <c r="F12" s="2" t="s">
        <v>7</v>
      </c>
      <c r="G12" s="5" t="s">
        <v>37</v>
      </c>
    </row>
    <row r="13" spans="1:8" ht="15.75" x14ac:dyDescent="0.25">
      <c r="A13" s="20" t="s">
        <v>38</v>
      </c>
      <c r="B13" s="6">
        <v>9</v>
      </c>
      <c r="C13" s="7">
        <v>32.81</v>
      </c>
      <c r="D13" s="8">
        <v>0.5</v>
      </c>
      <c r="E13" s="9">
        <f t="shared" si="0"/>
        <v>0.13715330691862235</v>
      </c>
      <c r="F13" s="7" t="s">
        <v>7</v>
      </c>
      <c r="G13" s="10" t="s">
        <v>39</v>
      </c>
    </row>
    <row r="14" spans="1:8" ht="15.75" x14ac:dyDescent="0.25">
      <c r="A14" s="20" t="s">
        <v>40</v>
      </c>
      <c r="B14" s="1">
        <v>3.93</v>
      </c>
      <c r="C14" s="2">
        <v>1</v>
      </c>
      <c r="D14" s="3">
        <v>1</v>
      </c>
      <c r="E14" s="4">
        <f t="shared" si="0"/>
        <v>3.93</v>
      </c>
      <c r="F14" s="2" t="s">
        <v>27</v>
      </c>
      <c r="G14" s="5" t="s">
        <v>41</v>
      </c>
    </row>
    <row r="15" spans="1:8" ht="15.75" x14ac:dyDescent="0.25">
      <c r="A15" s="20" t="s">
        <v>42</v>
      </c>
      <c r="B15" s="6">
        <v>6.65</v>
      </c>
      <c r="C15" s="7">
        <v>1</v>
      </c>
      <c r="D15" s="8">
        <v>1</v>
      </c>
      <c r="E15" s="9">
        <f t="shared" si="0"/>
        <v>6.65</v>
      </c>
      <c r="F15" s="7" t="s">
        <v>55</v>
      </c>
      <c r="G15" s="11" t="s">
        <v>66</v>
      </c>
    </row>
    <row r="16" spans="1:8" x14ac:dyDescent="0.25">
      <c r="A16" s="18" t="s">
        <v>43</v>
      </c>
      <c r="B16" s="1">
        <v>9.99</v>
      </c>
      <c r="C16" s="2">
        <v>60</v>
      </c>
      <c r="D16" s="3">
        <f>1/8</f>
        <v>0.125</v>
      </c>
      <c r="E16" s="4">
        <f t="shared" si="0"/>
        <v>2.0812500000000001E-2</v>
      </c>
      <c r="F16" s="2" t="s">
        <v>7</v>
      </c>
      <c r="G16" s="5" t="s">
        <v>44</v>
      </c>
    </row>
    <row r="17" spans="1:9" x14ac:dyDescent="0.25">
      <c r="A17" s="18" t="s">
        <v>45</v>
      </c>
      <c r="B17" s="6">
        <v>2.33</v>
      </c>
      <c r="C17" s="7">
        <v>100</v>
      </c>
      <c r="D17" s="8">
        <v>1</v>
      </c>
      <c r="E17" s="9">
        <f t="shared" si="0"/>
        <v>2.3300000000000001E-2</v>
      </c>
      <c r="F17" s="7" t="s">
        <v>27</v>
      </c>
      <c r="G17" s="10" t="s">
        <v>32</v>
      </c>
    </row>
    <row r="18" spans="1:9" ht="15.75" x14ac:dyDescent="0.25">
      <c r="A18" s="20" t="s">
        <v>46</v>
      </c>
      <c r="B18" s="1">
        <v>2.02</v>
      </c>
      <c r="C18" s="2">
        <v>100</v>
      </c>
      <c r="D18" s="3">
        <v>4</v>
      </c>
      <c r="E18" s="4">
        <f t="shared" si="0"/>
        <v>8.0799999999999997E-2</v>
      </c>
      <c r="F18" s="2" t="s">
        <v>27</v>
      </c>
      <c r="G18" s="5" t="s">
        <v>47</v>
      </c>
    </row>
    <row r="19" spans="1:9" ht="15.75" x14ac:dyDescent="0.25">
      <c r="A19" s="20" t="s">
        <v>31</v>
      </c>
      <c r="B19" s="29">
        <v>2.33</v>
      </c>
      <c r="C19" s="23">
        <v>100</v>
      </c>
      <c r="D19" s="23">
        <v>1</v>
      </c>
      <c r="E19" s="30">
        <f t="shared" si="0"/>
        <v>2.3300000000000001E-2</v>
      </c>
      <c r="F19" s="23" t="s">
        <v>27</v>
      </c>
      <c r="G19" s="27" t="s">
        <v>32</v>
      </c>
      <c r="H19" s="23"/>
    </row>
    <row r="20" spans="1:9" ht="15.75" x14ac:dyDescent="0.25">
      <c r="A20" s="20" t="s">
        <v>48</v>
      </c>
      <c r="B20" s="16" t="s">
        <v>63</v>
      </c>
      <c r="C20" s="16"/>
      <c r="D20" s="16"/>
      <c r="E20" s="21">
        <v>2.33</v>
      </c>
      <c r="F20" s="16"/>
      <c r="G20" s="16"/>
    </row>
    <row r="22" spans="1:9" x14ac:dyDescent="0.25">
      <c r="D22" t="s">
        <v>49</v>
      </c>
      <c r="E22" s="17">
        <f xml:space="preserve"> SUM(E2:E20)-E3</f>
        <v>62.794744594797429</v>
      </c>
      <c r="F22" t="s">
        <v>58</v>
      </c>
    </row>
    <row r="23" spans="1:9" x14ac:dyDescent="0.25">
      <c r="E23" s="17">
        <f xml:space="preserve"> SUM(E1:E20)-E4</f>
        <v>63.784744594797431</v>
      </c>
      <c r="F23" t="s">
        <v>59</v>
      </c>
    </row>
    <row r="25" spans="1:9" x14ac:dyDescent="0.25">
      <c r="A25" t="s">
        <v>50</v>
      </c>
    </row>
    <row r="26" spans="1:9" ht="15.75" x14ac:dyDescent="0.25">
      <c r="A26" s="31" t="s">
        <v>51</v>
      </c>
      <c r="B26" s="28">
        <v>24.94</v>
      </c>
      <c r="C26">
        <v>10</v>
      </c>
      <c r="D26" s="13">
        <v>4</v>
      </c>
      <c r="E26" s="28">
        <f>B26*(D26/C26)</f>
        <v>9.9760000000000009</v>
      </c>
      <c r="F26" t="s">
        <v>27</v>
      </c>
      <c r="G26" s="5" t="s">
        <v>33</v>
      </c>
      <c r="I26" t="s">
        <v>52</v>
      </c>
    </row>
    <row r="27" spans="1:9" ht="15.75" x14ac:dyDescent="0.25">
      <c r="A27" s="19" t="s">
        <v>19</v>
      </c>
      <c r="B27" s="12">
        <v>13.99</v>
      </c>
      <c r="C27" s="13">
        <v>2</v>
      </c>
      <c r="D27" s="14">
        <v>1</v>
      </c>
      <c r="E27" s="32">
        <f>B27*(D27/C27)</f>
        <v>6.9950000000000001</v>
      </c>
      <c r="F27" t="s">
        <v>7</v>
      </c>
      <c r="G27" s="11" t="s">
        <v>20</v>
      </c>
      <c r="I27" t="s">
        <v>53</v>
      </c>
    </row>
    <row r="28" spans="1:9" ht="15.75" x14ac:dyDescent="0.25">
      <c r="A28" s="20" t="s">
        <v>21</v>
      </c>
      <c r="B28" s="12">
        <v>13</v>
      </c>
      <c r="C28" s="13">
        <v>2</v>
      </c>
      <c r="D28" s="14">
        <v>1</v>
      </c>
      <c r="E28" s="32">
        <f>B28*(D28/C28)</f>
        <v>6.5</v>
      </c>
      <c r="F28" t="s">
        <v>7</v>
      </c>
      <c r="G28" s="11" t="s">
        <v>22</v>
      </c>
      <c r="I28" t="s">
        <v>54</v>
      </c>
    </row>
  </sheetData>
  <hyperlinks>
    <hyperlink ref="G2" r:id="rId1" xr:uid="{70A46ECE-F389-4C1F-8EF6-D36F7A4EBB22}"/>
    <hyperlink ref="G7" r:id="rId2" xr:uid="{D2666D17-40B0-44FE-857B-E1D3C22B1EA3}"/>
    <hyperlink ref="G27" r:id="rId3" display="https://www.amazon.com/ALITOVE-Converter-100-240V-Transformer-Security/dp/B082C6XF88/ref=sr_1_5_sspa?dib=eyJ2IjoiMSJ9.HhyQcYFxSnAV0hq4e0qwVBIIaRB1Q8r-ej1UXmJNTW8NzWFN2F8Kja5vI4VILzOGMPnTERPdwN2UdlZgl_8yWNeucQPLlVl7olA2PaO0OlbbiFRclV5RnabcmtfD7SAq-frUYzAmI241VV2ItsFQJEKEe75MX-bysCqoT0xBRFZKvZMtxHHv2PNpyXA8pQcAvMzf5SSSd_SnFhYdW2aGy9JMr3OMyje5iaucrT8DbBo.6soFbMssKnysD5ttN_XiPOlMUxVfTFENRqQ6dihE7_s&amp;dib_tag=se&amp;hvadid=694095447987&amp;hvdev=c&amp;hvexpln=67&amp;hvlocphy=1012947&amp;hvnetw=g&amp;hvocijid=7647249868743066757--&amp;hvqmt=e&amp;hvrand=7647249868743066757&amp;hvtargid=kwd-1028416465885&amp;hydadcr=12727_13368272&amp;keywords=ac%2Badapter%2Bmodel%2Brxz12v2a-a&amp;mcid=9366ef7bda583eeb848b7585e2c55389&amp;qid=1759790868&amp;sr=8-5-spons&amp;sp_csd=d2lkZ2V0TmFtZT1zcF9tdGY&amp;th=1" xr:uid="{576C729D-6B75-4BF6-B3F2-90EA06D69BB6}"/>
    <hyperlink ref="G28" r:id="rId4" xr:uid="{1CC738D3-54B0-49DD-AA95-1AE8395007A3}"/>
    <hyperlink ref="G10" r:id="rId5" xr:uid="{B2333FEF-C4B7-48DD-9D6B-40EEC6F0A8A6}"/>
    <hyperlink ref="G9" r:id="rId6" xr:uid="{2BD44896-4B6C-4FFF-9F66-08D06CC30850}"/>
    <hyperlink ref="G26" r:id="rId7" xr:uid="{984B5CF7-8842-4F51-B99F-97F749EB3314}"/>
    <hyperlink ref="G11" r:id="rId8" xr:uid="{23735F81-3EBF-4FAB-8AAB-8BB176F1DA3A}"/>
    <hyperlink ref="G16" r:id="rId9" xr:uid="{D878B01D-78E4-4D58-8A1E-C3DB4D704ABA}"/>
    <hyperlink ref="G14" r:id="rId10" xr:uid="{930111AC-04C1-4B12-B8AB-9096730E9195}"/>
    <hyperlink ref="G12" r:id="rId11" xr:uid="{99949F7E-F2CC-4333-AA2D-F3BD463EF288}"/>
    <hyperlink ref="G13" r:id="rId12" xr:uid="{549CE53F-B0C7-4C5B-B85A-D7AF03CBD222}"/>
    <hyperlink ref="G17" r:id="rId13" xr:uid="{194B7E17-DDB6-4552-93D1-D0187097E6A9}"/>
    <hyperlink ref="G18" r:id="rId14" xr:uid="{A1E4A2AC-86DD-45B7-BFCF-DD6CC9814CBE}"/>
    <hyperlink ref="G8" r:id="rId15" xr:uid="{6ED6AB8D-1AAB-455D-BC86-7BE2AB006635}"/>
    <hyperlink ref="G6" r:id="rId16" xr:uid="{42CC261C-6017-49B7-898F-C0226203C362}"/>
    <hyperlink ref="G4" r:id="rId17" xr:uid="{8F99B7C3-DA5C-4A7D-96EC-98A05D9E9865}"/>
    <hyperlink ref="G5" r:id="rId18" display="https://www.pololu.com/product/2843" xr:uid="{408B4FC5-237B-4D3D-92DE-9A5D9A1D1460}"/>
    <hyperlink ref="G15" r:id="rId19" display="https://www.digikey.com.au/en/products/detail/honeywell-sensing-and-productivity-solutions/SS49E/701361" xr:uid="{D077DA89-712D-4096-8803-F8C05A9198BD}"/>
  </hyperlinks>
  <pageMargins left="0.7" right="0.7" top="0.75" bottom="0.75" header="0.3" footer="0.3"/>
  <tableParts count="1">
    <tablePart r:id="rId2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26CB7A09A0F4C8FB5EF08E11BB1CA" ma:contentTypeVersion="19" ma:contentTypeDescription="Create a new document." ma:contentTypeScope="" ma:versionID="b96899a4064ebb50806c63fedfe1305a">
  <xsd:schema xmlns:xsd="http://www.w3.org/2001/XMLSchema" xmlns:xs="http://www.w3.org/2001/XMLSchema" xmlns:p="http://schemas.microsoft.com/office/2006/metadata/properties" xmlns:ns3="bb1258de-dfc0-4e5e-a08f-915a2a257543" xmlns:ns4="a328147a-d6f3-4bcf-b334-baa5cad3d9e3" targetNamespace="http://schemas.microsoft.com/office/2006/metadata/properties" ma:root="true" ma:fieldsID="91be5b736da33c8cb1bfd4fdbb176150" ns3:_="" ns4:_="">
    <xsd:import namespace="bb1258de-dfc0-4e5e-a08f-915a2a257543"/>
    <xsd:import namespace="a328147a-d6f3-4bcf-b334-baa5cad3d9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1258de-dfc0-4e5e-a08f-915a2a257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8147a-d6f3-4bcf-b334-baa5cad3d9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1258de-dfc0-4e5e-a08f-915a2a25754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1621A6-8E83-4559-BD22-3B2CE4FCD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1258de-dfc0-4e5e-a08f-915a2a257543"/>
    <ds:schemaRef ds:uri="a328147a-d6f3-4bcf-b334-baa5cad3d9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1CF981-5968-4F0C-99C2-5D75F84EAFBD}">
  <ds:schemaRefs>
    <ds:schemaRef ds:uri="http://schemas.microsoft.com/office/2006/documentManagement/types"/>
    <ds:schemaRef ds:uri="http://schemas.microsoft.com/office/infopath/2007/PartnerControls"/>
    <ds:schemaRef ds:uri="bb1258de-dfc0-4e5e-a08f-915a2a257543"/>
    <ds:schemaRef ds:uri="http://www.w3.org/XML/1998/namespace"/>
    <ds:schemaRef ds:uri="http://purl.org/dc/elements/1.1/"/>
    <ds:schemaRef ds:uri="http://schemas.openxmlformats.org/package/2006/metadata/core-properties"/>
    <ds:schemaRef ds:uri="a328147a-d6f3-4bcf-b334-baa5cad3d9e3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42517E9-003E-4DE9-88C1-DCADA1A3F0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Auburn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Mathias</dc:creator>
  <cp:lastModifiedBy>Mason Mathias</cp:lastModifiedBy>
  <dcterms:created xsi:type="dcterms:W3CDTF">2026-01-07T22:26:13Z</dcterms:created>
  <dcterms:modified xsi:type="dcterms:W3CDTF">2026-05-27T21:42:15Z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0x010100AD326CB7A09A0F4C8FB5EF08E11BB1CA</vt:lpwstr>
  </property>
</Properties>
</file>